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RARAJ\Documents\"/>
    </mc:Choice>
  </mc:AlternateContent>
  <xr:revisionPtr revIDLastSave="0" documentId="8_{DCBEA3AB-D6A5-447B-AE59-55C0ACA86E35}" xr6:coauthVersionLast="47" xr6:coauthVersionMax="47" xr10:uidLastSave="{00000000-0000-0000-0000-000000000000}"/>
  <bookViews>
    <workbookView xWindow="-108" yWindow="-108" windowWidth="23256" windowHeight="12576" xr2:uid="{8774B09A-6C87-4C21-B206-3301800E8A4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F9" i="1"/>
  <c r="E12" i="1" s="1"/>
  <c r="F12" i="1" l="1"/>
  <c r="E18" i="1"/>
  <c r="F18" i="1" s="1"/>
  <c r="E13" i="1"/>
  <c r="F13" i="1" s="1"/>
  <c r="E17" i="1"/>
  <c r="F17" i="1" l="1"/>
  <c r="E15" i="1"/>
  <c r="F15" i="1" s="1"/>
  <c r="F20" i="1" s="1"/>
  <c r="E20" i="1" l="1"/>
  <c r="E22" i="1"/>
</calcChain>
</file>

<file path=xl/sharedStrings.xml><?xml version="1.0" encoding="utf-8"?>
<sst xmlns="http://schemas.openxmlformats.org/spreadsheetml/2006/main" count="29" uniqueCount="26">
  <si>
    <t>STRICTLY CONFIDENTIAL</t>
  </si>
  <si>
    <t>Employee Name</t>
  </si>
  <si>
    <t>Offer No</t>
  </si>
  <si>
    <t>Part - A</t>
  </si>
  <si>
    <t>(To be submitted along with the Acceptance of the Offer prior to joining)</t>
  </si>
  <si>
    <t>Gross CTC</t>
  </si>
  <si>
    <t>Per Bonus</t>
  </si>
  <si>
    <t>Total Annual CTC</t>
  </si>
  <si>
    <t>Components</t>
  </si>
  <si>
    <t>Monthly</t>
  </si>
  <si>
    <t>Annual</t>
  </si>
  <si>
    <t>Fixed Salary</t>
  </si>
  <si>
    <t>Basic Salary</t>
  </si>
  <si>
    <t>House Rent Allowance</t>
  </si>
  <si>
    <t>Meal Voucher</t>
  </si>
  <si>
    <t>Flexi Block</t>
  </si>
  <si>
    <t>Other Allowance</t>
  </si>
  <si>
    <t>Retirals</t>
  </si>
  <si>
    <t>Provident Fund Contribution (12% on Base Pay)</t>
  </si>
  <si>
    <t>Gratuity (4.81% on Base Pay)</t>
  </si>
  <si>
    <t>Total</t>
  </si>
  <si>
    <t>Net Salary (Including Meal voucher &amp; before Income tax)</t>
  </si>
  <si>
    <t>Sd/-</t>
  </si>
  <si>
    <t>Human Resources</t>
  </si>
  <si>
    <t>(Signature of Employee)</t>
  </si>
  <si>
    <t>Ramesh Raj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</si>
</sst>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(* #,##0_);_(* \(#,##0\);_(* &quot;-&quot;??_);_(@_)"/>
    <numFmt numFmtId="165" formatCode="mmmm\ d\,\ 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0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0" fillId="3" borderId="1" xfId="0" applyFill="1" applyBorder="1"/>
    <xf numFmtId="164" fontId="0" fillId="3" borderId="1" xfId="1" applyNumberFormat="1" applyFont="1" applyFill="1" applyBorder="1" applyAlignment="1">
      <alignment horizontal="center"/>
    </xf>
    <xf numFmtId="164" fontId="2" fillId="0" borderId="1" xfId="1" applyNumberFormat="1" applyFont="1" applyBorder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/>
    <xf numFmtId="164" fontId="0" fillId="0" borderId="1" xfId="1" applyNumberFormat="1" applyFont="1" applyBorder="1"/>
    <xf numFmtId="164" fontId="0" fillId="0" borderId="0" xfId="0" applyNumberFormat="1"/>
    <xf numFmtId="0" fontId="2" fillId="0" borderId="1" xfId="0" applyFont="1" applyBorder="1"/>
    <xf numFmtId="164" fontId="2" fillId="0" borderId="0" xfId="0" applyNumberFormat="1" applyFont="1"/>
    <xf numFmtId="164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 wrapText="1"/>
    </xf>
    <xf numFmtId="0" fontId="4" fillId="0" borderId="0" xfId="0" applyFont="1"/>
    <xf numFmtId="0" fontId="3" fillId="0" borderId="0" xfId="0" applyFont="1" applyAlignment="1">
      <alignment wrapText="1"/>
    </xf>
    <xf numFmtId="165" fontId="3" fillId="0" borderId="0" xfId="0" applyNumberFormat="1" applyFont="1"/>
    <xf numFmtId="0" fontId="3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wrapText="1"/>
    </xf>
    <xf numFmtId="0" fontId="3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35A04-C4D0-486B-B9D5-73C178E2A8D0}">
  <sheetPr codeName="Sheet1"/>
  <dimension ref="A1:G29"/>
  <sheetViews>
    <sheetView tabSelected="1" workbookViewId="0">
      <selection activeCell="H13" sqref="H13"/>
    </sheetView>
  </sheetViews>
  <sheetFormatPr defaultRowHeight="14.4" x14ac:dyDescent="0.3"/>
  <cols>
    <col min="1" max="1" width="10.5546875" bestFit="1" customWidth="1"/>
    <col min="4" max="4" width="28.6640625" customWidth="1"/>
    <col min="6" max="6" width="12.6640625" customWidth="1"/>
  </cols>
  <sheetData>
    <row r="1" spans="1:7" x14ac:dyDescent="0.3">
      <c r="A1" s="34" t="s">
        <v>0</v>
      </c>
      <c r="B1" s="34"/>
      <c r="C1" s="34"/>
      <c r="D1" s="34"/>
      <c r="E1" s="34"/>
      <c r="F1" s="34"/>
    </row>
    <row r="2" spans="1:7" x14ac:dyDescent="0.3">
      <c r="A2" s="35" t="s">
        <v>1</v>
      </c>
      <c r="B2" s="36"/>
      <c r="C2" s="36"/>
      <c r="D2" s="36"/>
      <c r="E2" s="36"/>
      <c r="F2" s="37"/>
      <c r="G2" s="1"/>
    </row>
    <row r="3" spans="1:7" x14ac:dyDescent="0.3">
      <c r="A3" s="35" t="s">
        <v>2</v>
      </c>
      <c r="B3" s="36"/>
      <c r="C3" s="36"/>
      <c r="D3" s="36"/>
      <c r="E3" s="36"/>
      <c r="F3" s="37"/>
      <c r="G3" s="1"/>
    </row>
    <row r="4" spans="1:7" x14ac:dyDescent="0.3">
      <c r="A4" s="38" t="s">
        <v>3</v>
      </c>
      <c r="B4" s="38"/>
      <c r="C4" s="38"/>
      <c r="D4" s="38"/>
      <c r="E4" s="38"/>
      <c r="F4" s="38"/>
    </row>
    <row r="5" spans="1:7" x14ac:dyDescent="0.3">
      <c r="A5" s="39" t="s">
        <v>4</v>
      </c>
      <c r="B5" s="39"/>
      <c r="C5" s="39"/>
      <c r="D5" s="39"/>
      <c r="E5" s="39"/>
      <c r="F5" s="39"/>
    </row>
    <row r="6" spans="1:7" x14ac:dyDescent="0.3">
      <c r="A6" s="2"/>
      <c r="B6" s="2"/>
      <c r="C6" s="2"/>
      <c r="D6" s="2"/>
      <c r="E6" s="2"/>
      <c r="F6" s="2"/>
      <c r="G6" s="1"/>
    </row>
    <row r="7" spans="1:7" x14ac:dyDescent="0.3">
      <c r="A7" s="26" t="s">
        <v>5</v>
      </c>
      <c r="B7" s="26"/>
      <c r="C7" s="26"/>
      <c r="D7" s="26"/>
      <c r="E7" s="26"/>
      <c r="F7" s="3">
        <v>750000</v>
      </c>
    </row>
    <row r="8" spans="1:7" x14ac:dyDescent="0.3">
      <c r="A8" s="26" t="s">
        <v>6</v>
      </c>
      <c r="B8" s="26"/>
      <c r="C8" s="26"/>
      <c r="D8" s="26"/>
      <c r="E8" s="26"/>
      <c r="F8" s="4"/>
    </row>
    <row r="9" spans="1:7" x14ac:dyDescent="0.3">
      <c r="A9" s="26" t="s">
        <v>7</v>
      </c>
      <c r="B9" s="26"/>
      <c r="C9" s="26"/>
      <c r="D9" s="26"/>
      <c r="E9" s="26"/>
      <c r="F9" s="5">
        <f>F7+F8</f>
        <v>750000</v>
      </c>
    </row>
    <row r="10" spans="1:7" x14ac:dyDescent="0.3">
      <c r="A10" s="31"/>
      <c r="B10" s="31"/>
      <c r="C10" s="31"/>
      <c r="D10" s="31"/>
      <c r="E10" s="31"/>
      <c r="F10" s="31"/>
    </row>
    <row r="11" spans="1:7" x14ac:dyDescent="0.3">
      <c r="A11" s="33" t="s">
        <v>8</v>
      </c>
      <c r="B11" s="33"/>
      <c r="C11" s="33"/>
      <c r="D11" s="33"/>
      <c r="E11" s="6" t="s">
        <v>9</v>
      </c>
      <c r="F11" s="6" t="s">
        <v>10</v>
      </c>
      <c r="G11" s="7"/>
    </row>
    <row r="12" spans="1:7" x14ac:dyDescent="0.3">
      <c r="A12" s="8" t="s">
        <v>11</v>
      </c>
      <c r="B12" s="29" t="s">
        <v>12</v>
      </c>
      <c r="C12" s="29"/>
      <c r="D12" s="29"/>
      <c r="E12" s="9">
        <f>MAX(15000,ROUND((F9*35%)/12,0))</f>
        <v>21875</v>
      </c>
      <c r="F12" s="9">
        <f>E12*12</f>
        <v>262500</v>
      </c>
    </row>
    <row r="13" spans="1:7" x14ac:dyDescent="0.3">
      <c r="A13" s="8" t="s">
        <v>11</v>
      </c>
      <c r="B13" s="29" t="s">
        <v>13</v>
      </c>
      <c r="C13" s="29"/>
      <c r="D13" s="29"/>
      <c r="E13" s="9">
        <f>ROUND(E12*50%,0)</f>
        <v>10938</v>
      </c>
      <c r="F13" s="9">
        <f t="shared" ref="F13:F18" si="0">E13*12</f>
        <v>131256</v>
      </c>
    </row>
    <row r="14" spans="1:7" x14ac:dyDescent="0.3">
      <c r="A14" s="8" t="s">
        <v>11</v>
      </c>
      <c r="B14" s="29" t="s">
        <v>14</v>
      </c>
      <c r="C14" s="29"/>
      <c r="D14" s="29"/>
      <c r="E14" s="9">
        <v>2200</v>
      </c>
      <c r="F14" s="9">
        <f t="shared" si="0"/>
        <v>26400</v>
      </c>
    </row>
    <row r="15" spans="1:7" x14ac:dyDescent="0.3">
      <c r="A15" s="8" t="s">
        <v>15</v>
      </c>
      <c r="B15" s="29" t="s">
        <v>16</v>
      </c>
      <c r="C15" s="29"/>
      <c r="D15" s="29"/>
      <c r="E15" s="9">
        <f>(F7/12)-E12-E13-E14-E17-E18</f>
        <v>23810</v>
      </c>
      <c r="F15" s="9">
        <f t="shared" si="0"/>
        <v>285720</v>
      </c>
    </row>
    <row r="16" spans="1:7" x14ac:dyDescent="0.3">
      <c r="A16" s="8"/>
      <c r="B16" s="30"/>
      <c r="C16" s="31"/>
      <c r="D16" s="32"/>
      <c r="E16" s="9"/>
      <c r="F16" s="9"/>
      <c r="G16" s="10"/>
    </row>
    <row r="17" spans="1:7" x14ac:dyDescent="0.3">
      <c r="A17" s="8" t="s">
        <v>17</v>
      </c>
      <c r="B17" s="29" t="s">
        <v>18</v>
      </c>
      <c r="C17" s="29"/>
      <c r="D17" s="29"/>
      <c r="E17" s="9">
        <f>ROUND(E12*12%,)</f>
        <v>2625</v>
      </c>
      <c r="F17" s="9">
        <f t="shared" si="0"/>
        <v>31500</v>
      </c>
    </row>
    <row r="18" spans="1:7" x14ac:dyDescent="0.3">
      <c r="A18" s="8" t="s">
        <v>17</v>
      </c>
      <c r="B18" s="29" t="s">
        <v>19</v>
      </c>
      <c r="C18" s="29"/>
      <c r="D18" s="29"/>
      <c r="E18" s="9">
        <f>ROUND(E12*4.81%,0)</f>
        <v>1052</v>
      </c>
      <c r="F18" s="9">
        <f t="shared" si="0"/>
        <v>12624</v>
      </c>
    </row>
    <row r="19" spans="1:7" x14ac:dyDescent="0.3">
      <c r="A19" s="8"/>
      <c r="B19" s="30"/>
      <c r="C19" s="31"/>
      <c r="D19" s="32"/>
      <c r="E19" s="9"/>
      <c r="F19" s="9"/>
    </row>
    <row r="20" spans="1:7" x14ac:dyDescent="0.3">
      <c r="A20" s="11" t="s">
        <v>20</v>
      </c>
      <c r="B20" s="23"/>
      <c r="C20" s="24"/>
      <c r="D20" s="25"/>
      <c r="E20" s="5">
        <f>SUM(E12:E18)</f>
        <v>62500</v>
      </c>
      <c r="F20" s="5">
        <f>SUM(F12:F18)</f>
        <v>750000</v>
      </c>
      <c r="G20" s="12"/>
    </row>
    <row r="22" spans="1:7" x14ac:dyDescent="0.3">
      <c r="A22" s="26" t="s">
        <v>21</v>
      </c>
      <c r="B22" s="26"/>
      <c r="C22" s="26"/>
      <c r="D22" s="26"/>
      <c r="E22" s="13">
        <f>SUM(E12:E15)-(E17)</f>
        <v>56198</v>
      </c>
    </row>
    <row r="24" spans="1:7" x14ac:dyDescent="0.3">
      <c r="A24" s="14"/>
    </row>
    <row r="25" spans="1:7" x14ac:dyDescent="0.3">
      <c r="A25" s="15"/>
      <c r="B25" s="15"/>
      <c r="E25" s="15"/>
      <c r="G25" s="16"/>
    </row>
    <row r="26" spans="1:7" x14ac:dyDescent="0.3">
      <c r="A26" s="17" t="s">
        <v>22</v>
      </c>
      <c r="B26" s="18"/>
      <c r="C26" s="16"/>
      <c r="D26" s="19"/>
      <c r="E26" s="16"/>
      <c r="F26" s="16"/>
      <c r="G26" s="16"/>
    </row>
    <row r="27" spans="1:7" x14ac:dyDescent="0.3">
      <c r="A27" s="27" t="s">
        <v>25</v>
      </c>
      <c r="B27" s="27"/>
      <c r="C27" s="27"/>
      <c r="D27" s="27"/>
      <c r="E27" s="27"/>
      <c r="F27" s="27"/>
      <c r="G27" s="16"/>
    </row>
    <row r="28" spans="1:7" x14ac:dyDescent="0.3">
      <c r="A28" s="28" t="s">
        <v>23</v>
      </c>
      <c r="B28" s="28"/>
      <c r="C28" s="20"/>
      <c r="D28" s="28"/>
      <c r="E28" s="28"/>
      <c r="F28" s="20"/>
      <c r="G28" s="16"/>
    </row>
    <row r="29" spans="1:7" x14ac:dyDescent="0.3">
      <c r="A29" s="21"/>
      <c r="B29" s="18"/>
      <c r="C29" s="16"/>
      <c r="D29" s="16"/>
      <c r="E29" s="22" t="s">
        <v>24</v>
      </c>
      <c r="F29" s="22"/>
      <c r="G29" s="16"/>
    </row>
  </sheetData>
  <mergeCells count="25">
    <mergeCell ref="A7:E7"/>
    <mergeCell ref="A1:F1"/>
    <mergeCell ref="A2:F2"/>
    <mergeCell ref="A3:F3"/>
    <mergeCell ref="A4:F4"/>
    <mergeCell ref="A5:F5"/>
    <mergeCell ref="B19:D19"/>
    <mergeCell ref="A8:E8"/>
    <mergeCell ref="A9:E9"/>
    <mergeCell ref="A10:F10"/>
    <mergeCell ref="A11:D11"/>
    <mergeCell ref="B12:D12"/>
    <mergeCell ref="B13:D13"/>
    <mergeCell ref="B14:D14"/>
    <mergeCell ref="B15:D15"/>
    <mergeCell ref="B16:D16"/>
    <mergeCell ref="B17:D17"/>
    <mergeCell ref="B18:D18"/>
    <mergeCell ref="E29:F29"/>
    <mergeCell ref="B20:D20"/>
    <mergeCell ref="A22:D22"/>
    <mergeCell ref="A27:C27"/>
    <mergeCell ref="D27:F27"/>
    <mergeCell ref="A28:B28"/>
    <mergeCell ref="D28:E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Ramesh Raj</dc:creator>
  <cp:lastModifiedBy>Ramesh Raj</cp:lastModifiedBy>
  <dcterms:created xsi:type="dcterms:W3CDTF">2023-04-01T07:47:29Z</dcterms:created>
  <dcterms:modified xsi:type="dcterms:W3CDTF">2023-04-01T13:05:46Z</dcterms:modified>
</cp:coreProperties>
</file>